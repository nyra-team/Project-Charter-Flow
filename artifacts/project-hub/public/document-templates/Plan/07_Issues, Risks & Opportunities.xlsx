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561266\Downloads\Mandatory Documents\"/>
    </mc:Choice>
  </mc:AlternateContent>
  <xr:revisionPtr revIDLastSave="0" documentId="13_ncr:1_{44CDDA0D-9BAB-41E1-B6E7-4BCC73FD53B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isk Reg." sheetId="18" r:id="rId1"/>
    <sheet name="Opportunities" sheetId="19" r:id="rId2"/>
    <sheet name="Guidelines" sheetId="20" r:id="rId3"/>
    <sheet name="Issue Tracker" sheetId="21" r:id="rId4"/>
    <sheet name="Risk Register" sheetId="17" state="hidden" r:id="rId5"/>
    <sheet name="Sheet1" sheetId="14" state="hidden" r:id="rId6"/>
  </sheets>
  <definedNames>
    <definedName name="nextDate">#REF!</definedName>
    <definedName name="pEnd">#REF!</definedName>
    <definedName name="thisDate">#REF!</definedName>
    <definedName name="valuevx">42.314159</definedName>
    <definedName name="vertex42_copyright" hidden="1">"© 2017 Vertex42 LLC"</definedName>
    <definedName name="vertex42_id" hidden="1">"project-planner.xlsx"</definedName>
    <definedName name="vertex42_title" hidden="1">"Project Planner Template"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" i="19" l="1"/>
  <c r="G11" i="19" l="1"/>
  <c r="G10" i="19"/>
  <c r="G9" i="19"/>
  <c r="G8" i="19"/>
  <c r="G7" i="19"/>
  <c r="G6" i="19"/>
  <c r="G4" i="19"/>
  <c r="G3" i="19"/>
</calcChain>
</file>

<file path=xl/sharedStrings.xml><?xml version="1.0" encoding="utf-8"?>
<sst xmlns="http://schemas.openxmlformats.org/spreadsheetml/2006/main" count="160" uniqueCount="110">
  <si>
    <t>Risk Register</t>
  </si>
  <si>
    <t>ID</t>
  </si>
  <si>
    <t>Date raised</t>
  </si>
  <si>
    <t>Risk description</t>
  </si>
  <si>
    <t>Likelihood of the risk occurring (1,2,3,4)</t>
  </si>
  <si>
    <t>Impact if the risk occurs (1,2,3,4)</t>
  </si>
  <si>
    <r>
      <t xml:space="preserve">Severity
</t>
    </r>
    <r>
      <rPr>
        <i/>
        <sz val="11"/>
        <color theme="5" tint="-0.499984740745262"/>
        <rFont val="Calibri"/>
        <family val="2"/>
      </rPr>
      <t>Rating based on impact &amp; likelihood.</t>
    </r>
  </si>
  <si>
    <r>
      <t>Owner</t>
    </r>
    <r>
      <rPr>
        <i/>
        <sz val="11"/>
        <color indexed="10"/>
        <rFont val="Calibri"/>
        <family val="2"/>
      </rPr>
      <t xml:space="preserve">
</t>
    </r>
    <r>
      <rPr>
        <i/>
        <sz val="11"/>
        <color theme="5" tint="-0.499984740745262"/>
        <rFont val="Calibri"/>
        <family val="2"/>
      </rPr>
      <t>Person who will manage the risk.</t>
    </r>
    <r>
      <rPr>
        <i/>
        <sz val="11"/>
        <color theme="3"/>
        <rFont val="Calibri"/>
        <family val="2"/>
      </rPr>
      <t xml:space="preserve"> </t>
    </r>
  </si>
  <si>
    <r>
      <t xml:space="preserve">Mitigating action
</t>
    </r>
    <r>
      <rPr>
        <i/>
        <sz val="11"/>
        <color theme="5" tint="-0.499984740745262"/>
        <rFont val="Calibri"/>
        <family val="2"/>
      </rPr>
      <t>Actions to mitigate the risk e.g. reduce the likelihood.</t>
    </r>
  </si>
  <si>
    <r>
      <t xml:space="preserve">Contingent action
</t>
    </r>
    <r>
      <rPr>
        <i/>
        <sz val="11"/>
        <color theme="5" tint="-0.499984740745262"/>
        <rFont val="Calibri"/>
        <family val="2"/>
      </rPr>
      <t>Action to be taken if the risk happens.</t>
    </r>
  </si>
  <si>
    <t>Progress on actions</t>
  </si>
  <si>
    <t>Status</t>
  </si>
  <si>
    <t>[enter date]</t>
  </si>
  <si>
    <t>Project purpose and need is not well-defined.</t>
  </si>
  <si>
    <t>High</t>
  </si>
  <si>
    <t>Project Sponsor</t>
  </si>
  <si>
    <t xml:space="preserve">Complete a business case if not already provided and ensure purpose is well defined on Project Charter and PID. </t>
  </si>
  <si>
    <t xml:space="preserve">Escalate to the Project Board with an assessment of the risk of runaway costs/never-ending project. </t>
  </si>
  <si>
    <t xml:space="preserve">Business case re-written with clear deliverables and submitted to the project board for approval. </t>
  </si>
  <si>
    <t>Open</t>
  </si>
  <si>
    <t>Opportunity Register</t>
  </si>
  <si>
    <t>Opp. ID</t>
  </si>
  <si>
    <t>Date Identified
(dd-mm-yyyy)</t>
  </si>
  <si>
    <t>Description</t>
  </si>
  <si>
    <t>Potential Benefits</t>
  </si>
  <si>
    <t>Cost</t>
  </si>
  <si>
    <t>Benefit</t>
  </si>
  <si>
    <r>
      <t xml:space="preserve">CBA Priority
</t>
    </r>
    <r>
      <rPr>
        <sz val="11"/>
        <color theme="1"/>
        <rFont val="Arial"/>
        <family val="2"/>
        <scheme val="minor"/>
      </rPr>
      <t>(Cost*Benefit)</t>
    </r>
  </si>
  <si>
    <t>Opportunity Leverage Strategy</t>
  </si>
  <si>
    <t>Action</t>
  </si>
  <si>
    <t>Ownership</t>
  </si>
  <si>
    <t xml:space="preserve">Target Closure Date 
(dd-mm-yyyy) </t>
  </si>
  <si>
    <t>Remark (If any)</t>
  </si>
  <si>
    <t>Low</t>
  </si>
  <si>
    <t>INPR</t>
  </si>
  <si>
    <t>Closed</t>
  </si>
  <si>
    <t>Medium</t>
  </si>
  <si>
    <t>Lead</t>
  </si>
  <si>
    <t>Select</t>
  </si>
  <si>
    <t>Risk ANALYSIS</t>
  </si>
  <si>
    <t>Opportunity ANALYSIS</t>
  </si>
  <si>
    <t>POTENTIAL BENEFIT</t>
  </si>
  <si>
    <t>Probability - Likelihood of Occurrence</t>
  </si>
  <si>
    <t>Level</t>
  </si>
  <si>
    <t>Remote / Unlikely</t>
  </si>
  <si>
    <t>POTENTIAL COST</t>
  </si>
  <si>
    <t>Likely</t>
  </si>
  <si>
    <t>Highly likely</t>
  </si>
  <si>
    <t>Near Certainty</t>
  </si>
  <si>
    <t>Consequences / Impact</t>
  </si>
  <si>
    <t>Impact value</t>
  </si>
  <si>
    <t>Negligible</t>
  </si>
  <si>
    <t>Marginal</t>
  </si>
  <si>
    <t>Critical</t>
  </si>
  <si>
    <t>Catastrophic</t>
  </si>
  <si>
    <t>Risk categorization on the basis of derived Exposure (Impact * Probability)</t>
  </si>
  <si>
    <t>Exposure</t>
  </si>
  <si>
    <t>Risk Categorization</t>
  </si>
  <si>
    <t>between 1 - 5</t>
  </si>
  <si>
    <t>between 6 - 11</t>
  </si>
  <si>
    <t>Moderate</t>
  </si>
  <si>
    <t>More than 11</t>
  </si>
  <si>
    <t>Issue Tracker</t>
  </si>
  <si>
    <t>S. No.</t>
  </si>
  <si>
    <t>Project</t>
  </si>
  <si>
    <t>Issue description</t>
  </si>
  <si>
    <t>Potential Impact</t>
  </si>
  <si>
    <t>Priority</t>
  </si>
  <si>
    <t>Date Opened</t>
  </si>
  <si>
    <t>Date Closed</t>
  </si>
  <si>
    <t>Issue Owner</t>
  </si>
  <si>
    <t>Department</t>
  </si>
  <si>
    <t>Notes</t>
  </si>
  <si>
    <t>ACE</t>
  </si>
  <si>
    <t>Service</t>
  </si>
  <si>
    <t>Accuracy not meeting acceptance criteria</t>
  </si>
  <si>
    <t>Varun</t>
  </si>
  <si>
    <t>Need to send updated deck to Business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</si>
  <si>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</si>
  <si>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</si>
  <si>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</si>
  <si>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</si>
  <si>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</si>
  <si>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</si>
  <si>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</si>
  <si>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</si>
  <si>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</si>
  <si>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</si>
  <si>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</si>
  <si>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Action Items</t>
  </si>
  <si>
    <t>Sr.No</t>
  </si>
  <si>
    <t>Action Item</t>
  </si>
  <si>
    <t xml:space="preserve">Owner </t>
  </si>
  <si>
    <t>Expected Date</t>
  </si>
  <si>
    <t>Remarks</t>
  </si>
  <si>
    <t>Conducting of Data Science Training</t>
  </si>
  <si>
    <t>KPMG</t>
  </si>
  <si>
    <t>16/2/2021</t>
  </si>
  <si>
    <t>In-Progress</t>
  </si>
  <si>
    <t xml:space="preserve">Although session#1 was conducted on the 17th Feb,session#2 is reuqested, in which the concept could be explained with an example that would help us to understand the methodology being followed by KPMG in this particular project . </t>
  </si>
  <si>
    <t>Requirements Confirmation</t>
  </si>
  <si>
    <t>15/2/2021</t>
  </si>
  <si>
    <t>Model output, forecast drill-down, model base line accuracy &amp; confidence level, KPI list, feature list along with business outcome &amp; success criteria to be discussed and finalized.</t>
  </si>
  <si>
    <t>17/2/2021</t>
  </si>
  <si>
    <t>Wireframe Design Finalisation is underway.</t>
  </si>
  <si>
    <t>Data Ingestion (Data Science)</t>
  </si>
  <si>
    <t>18/2/2021</t>
  </si>
  <si>
    <t>Data Source connectivity testing &amp; Modularized Script Development for Data Ingestion is underway.</t>
  </si>
  <si>
    <t xml:space="preserve">Project name: </t>
  </si>
  <si>
    <t>Project manager: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</si>
</sst>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6" formatCode="dd\ mmmm\ yyyy"/>
    <numFmt numFmtId="167" formatCode="[$-14009]dd/mm/yyyy;@"/>
  </numFmts>
  <fonts count="24" x14ac:knownFonts="1">
    <font>
      <sz val="11"/>
      <color theme="1"/>
      <name val="Arial"/>
      <family val="2"/>
      <scheme val="minor"/>
    </font>
    <font>
      <u/>
      <sz val="11"/>
      <color indexed="12"/>
      <name val="Arial"/>
      <family val="2"/>
    </font>
    <font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8"/>
      <color rgb="FF000000"/>
      <name val="Arial"/>
      <family val="2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u/>
      <sz val="11"/>
      <color theme="10"/>
      <name val="Arial"/>
      <family val="2"/>
      <scheme val="minor"/>
    </font>
    <font>
      <i/>
      <sz val="11"/>
      <color theme="5" tint="-0.499984740745262"/>
      <name val="Calibri"/>
      <family val="2"/>
    </font>
    <font>
      <i/>
      <sz val="11"/>
      <color indexed="10"/>
      <name val="Calibri"/>
      <family val="2"/>
    </font>
    <font>
      <i/>
      <sz val="11"/>
      <color theme="3"/>
      <name val="Calibri"/>
      <family val="2"/>
    </font>
    <font>
      <sz val="14"/>
      <color indexed="23"/>
      <name val="Calibri"/>
      <family val="2"/>
    </font>
    <font>
      <sz val="10"/>
      <name val="Arial"/>
      <family val="2"/>
    </font>
    <font>
      <b/>
      <sz val="20"/>
      <name val="Arial"/>
      <family val="2"/>
    </font>
    <font>
      <b/>
      <sz val="20"/>
      <color indexed="9"/>
      <name val="Arial"/>
      <family val="2"/>
    </font>
    <font>
      <b/>
      <sz val="12"/>
      <name val="Calibri"/>
      <family val="2"/>
    </font>
    <font>
      <b/>
      <sz val="10"/>
      <name val="Arial"/>
      <family val="2"/>
    </font>
    <font>
      <sz val="11"/>
      <name val="Arial"/>
      <family val="2"/>
      <scheme val="maj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sz val="16"/>
      <color theme="1"/>
      <name val="Arial"/>
      <family val="2"/>
      <scheme val="minor"/>
    </font>
    <font>
      <b/>
      <sz val="12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8BBDF"/>
        <bgColor indexed="64"/>
      </patternFill>
    </fill>
    <fill>
      <patternFill patternType="solid">
        <fgColor rgb="FF3A5D9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21"/>
      </patternFill>
    </fill>
    <fill>
      <patternFill patternType="solid">
        <fgColor theme="8" tint="0.79998168889431442"/>
        <bgColor indexed="31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/>
    <xf numFmtId="0" fontId="12" fillId="0" borderId="0"/>
  </cellStyleXfs>
  <cellXfs count="80">
    <xf numFmtId="0" fontId="0" fillId="0" borderId="0" xfId="0"/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vertical="center"/>
    </xf>
    <xf numFmtId="0" fontId="5" fillId="4" borderId="4" xfId="0" applyFont="1" applyFill="1" applyBorder="1" applyAlignment="1">
      <alignment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0" fillId="0" borderId="7" xfId="0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14" fontId="2" fillId="0" borderId="7" xfId="0" applyNumberFormat="1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3" fillId="5" borderId="7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11" fillId="0" borderId="0" xfId="0" applyFont="1"/>
    <xf numFmtId="0" fontId="15" fillId="7" borderId="8" xfId="3" applyFont="1" applyFill="1" applyBorder="1" applyAlignment="1">
      <alignment horizontal="center" vertical="center" wrapText="1"/>
    </xf>
    <xf numFmtId="166" fontId="15" fillId="7" borderId="9" xfId="3" applyNumberFormat="1" applyFont="1" applyFill="1" applyBorder="1" applyAlignment="1">
      <alignment horizontal="center" vertical="center" wrapText="1"/>
    </xf>
    <xf numFmtId="0" fontId="15" fillId="7" borderId="9" xfId="3" applyFont="1" applyFill="1" applyBorder="1" applyAlignment="1">
      <alignment horizontal="center" vertical="center" wrapText="1"/>
    </xf>
    <xf numFmtId="0" fontId="16" fillId="7" borderId="9" xfId="3" applyFont="1" applyFill="1" applyBorder="1" applyAlignment="1">
      <alignment horizontal="center" vertical="center" wrapText="1"/>
    </xf>
    <xf numFmtId="0" fontId="15" fillId="7" borderId="10" xfId="3" applyFont="1" applyFill="1" applyBorder="1" applyAlignment="1">
      <alignment horizontal="center" vertical="center" wrapText="1"/>
    </xf>
    <xf numFmtId="0" fontId="15" fillId="7" borderId="11" xfId="3" applyFont="1" applyFill="1" applyBorder="1" applyAlignment="1">
      <alignment horizontal="center" vertical="center" wrapText="1"/>
    </xf>
    <xf numFmtId="0" fontId="17" fillId="0" borderId="7" xfId="3" applyFont="1" applyBorder="1" applyAlignment="1" applyProtection="1">
      <alignment horizontal="center" vertical="center"/>
      <protection locked="0"/>
    </xf>
    <xf numFmtId="167" fontId="17" fillId="0" borderId="7" xfId="3" applyNumberFormat="1" applyFont="1" applyBorder="1" applyAlignment="1" applyProtection="1">
      <alignment horizontal="left" vertical="center"/>
      <protection locked="0"/>
    </xf>
    <xf numFmtId="0" fontId="17" fillId="0" borderId="7" xfId="3" applyFont="1" applyBorder="1" applyAlignment="1" applyProtection="1">
      <alignment horizontal="left" vertical="top"/>
      <protection locked="0"/>
    </xf>
    <xf numFmtId="0" fontId="17" fillId="8" borderId="7" xfId="3" applyFont="1" applyFill="1" applyBorder="1" applyAlignment="1">
      <alignment horizontal="center" vertical="center" wrapText="1"/>
    </xf>
    <xf numFmtId="0" fontId="17" fillId="0" borderId="7" xfId="3" applyFont="1" applyBorder="1" applyAlignment="1" applyProtection="1">
      <alignment horizontal="left" vertical="center"/>
      <protection locked="0"/>
    </xf>
    <xf numFmtId="0" fontId="17" fillId="0" borderId="7" xfId="3" applyFont="1" applyBorder="1" applyProtection="1">
      <protection locked="0"/>
    </xf>
    <xf numFmtId="0" fontId="18" fillId="0" borderId="0" xfId="0" applyFont="1" applyAlignment="1">
      <alignment vertical="top" wrapText="1"/>
    </xf>
    <xf numFmtId="0" fontId="19" fillId="0" borderId="13" xfId="0" applyFont="1" applyBorder="1" applyAlignment="1">
      <alignment horizontal="justify" vertical="center" wrapText="1"/>
    </xf>
    <xf numFmtId="0" fontId="19" fillId="0" borderId="14" xfId="0" applyFont="1" applyBorder="1" applyAlignment="1">
      <alignment horizontal="justify" vertical="center" wrapText="1"/>
    </xf>
    <xf numFmtId="0" fontId="20" fillId="11" borderId="19" xfId="0" applyFont="1" applyFill="1" applyBorder="1" applyAlignment="1">
      <alignment horizontal="center" vertical="center" wrapText="1"/>
    </xf>
    <xf numFmtId="0" fontId="20" fillId="11" borderId="20" xfId="0" applyFont="1" applyFill="1" applyBorder="1" applyAlignment="1">
      <alignment horizontal="center" vertical="center" wrapText="1"/>
    </xf>
    <xf numFmtId="0" fontId="20" fillId="11" borderId="18" xfId="0" applyFont="1" applyFill="1" applyBorder="1" applyAlignment="1">
      <alignment horizontal="center" vertical="center" wrapText="1"/>
    </xf>
    <xf numFmtId="0" fontId="18" fillId="0" borderId="21" xfId="0" applyFont="1" applyBorder="1" applyAlignment="1">
      <alignment horizontal="justify" vertical="center" wrapText="1"/>
    </xf>
    <xf numFmtId="0" fontId="18" fillId="0" borderId="22" xfId="0" applyFont="1" applyBorder="1" applyAlignment="1">
      <alignment horizontal="justify" vertical="center" wrapText="1"/>
    </xf>
    <xf numFmtId="0" fontId="20" fillId="11" borderId="14" xfId="0" applyFont="1" applyFill="1" applyBorder="1" applyAlignment="1">
      <alignment horizontal="center" vertical="center" wrapText="1"/>
    </xf>
    <xf numFmtId="0" fontId="21" fillId="9" borderId="23" xfId="0" applyFont="1" applyFill="1" applyBorder="1" applyAlignment="1">
      <alignment horizontal="center" vertical="center" wrapText="1"/>
    </xf>
    <xf numFmtId="0" fontId="21" fillId="12" borderId="24" xfId="0" applyFont="1" applyFill="1" applyBorder="1" applyAlignment="1">
      <alignment horizontal="center" vertical="center" wrapText="1"/>
    </xf>
    <xf numFmtId="0" fontId="21" fillId="12" borderId="25" xfId="0" applyFont="1" applyFill="1" applyBorder="1" applyAlignment="1">
      <alignment horizontal="center" vertical="center" wrapText="1"/>
    </xf>
    <xf numFmtId="0" fontId="20" fillId="11" borderId="22" xfId="0" applyFont="1" applyFill="1" applyBorder="1" applyAlignment="1">
      <alignment horizontal="center" vertical="center" wrapText="1"/>
    </xf>
    <xf numFmtId="0" fontId="21" fillId="13" borderId="26" xfId="0" applyFont="1" applyFill="1" applyBorder="1" applyAlignment="1">
      <alignment horizontal="center" vertical="center" wrapText="1"/>
    </xf>
    <xf numFmtId="0" fontId="21" fillId="9" borderId="7" xfId="0" applyFont="1" applyFill="1" applyBorder="1" applyAlignment="1">
      <alignment horizontal="center" vertical="center" wrapText="1"/>
    </xf>
    <xf numFmtId="0" fontId="21" fillId="12" borderId="22" xfId="0" applyFont="1" applyFill="1" applyBorder="1" applyAlignment="1">
      <alignment horizontal="center" vertical="center" wrapText="1"/>
    </xf>
    <xf numFmtId="0" fontId="21" fillId="13" borderId="19" xfId="0" applyFont="1" applyFill="1" applyBorder="1" applyAlignment="1">
      <alignment horizontal="center" vertical="center" wrapText="1"/>
    </xf>
    <xf numFmtId="0" fontId="21" fillId="13" borderId="20" xfId="0" applyFont="1" applyFill="1" applyBorder="1" applyAlignment="1">
      <alignment horizontal="center" vertical="center" wrapText="1"/>
    </xf>
    <xf numFmtId="0" fontId="21" fillId="9" borderId="18" xfId="0" applyFont="1" applyFill="1" applyBorder="1" applyAlignment="1">
      <alignment horizontal="center" vertical="center" wrapText="1"/>
    </xf>
    <xf numFmtId="0" fontId="18" fillId="0" borderId="17" xfId="0" applyFont="1" applyBorder="1" applyAlignment="1">
      <alignment horizontal="justify" vertical="center" wrapText="1"/>
    </xf>
    <xf numFmtId="0" fontId="18" fillId="0" borderId="18" xfId="0" applyFont="1" applyBorder="1" applyAlignment="1">
      <alignment horizontal="justify" vertical="center" wrapText="1"/>
    </xf>
    <xf numFmtId="0" fontId="19" fillId="0" borderId="27" xfId="0" applyFont="1" applyBorder="1" applyAlignment="1">
      <alignment horizontal="center" vertical="top" wrapText="1"/>
    </xf>
    <xf numFmtId="0" fontId="19" fillId="0" borderId="28" xfId="0" applyFont="1" applyBorder="1" applyAlignment="1">
      <alignment horizontal="center" vertical="top" wrapText="1"/>
    </xf>
    <xf numFmtId="0" fontId="19" fillId="0" borderId="29" xfId="0" applyFont="1" applyBorder="1" applyAlignment="1">
      <alignment vertical="top" wrapText="1"/>
    </xf>
    <xf numFmtId="0" fontId="19" fillId="0" borderId="30" xfId="0" applyFont="1" applyBorder="1" applyAlignment="1">
      <alignment vertical="top"/>
    </xf>
    <xf numFmtId="0" fontId="18" fillId="0" borderId="29" xfId="0" applyFont="1" applyBorder="1" applyAlignment="1">
      <alignment vertical="top" wrapText="1"/>
    </xf>
    <xf numFmtId="0" fontId="18" fillId="0" borderId="30" xfId="0" applyFont="1" applyBorder="1" applyAlignment="1">
      <alignment vertical="top" wrapText="1"/>
    </xf>
    <xf numFmtId="0" fontId="18" fillId="0" borderId="31" xfId="0" applyFont="1" applyBorder="1" applyAlignment="1">
      <alignment vertical="top" wrapText="1"/>
    </xf>
    <xf numFmtId="0" fontId="18" fillId="0" borderId="4" xfId="0" applyFont="1" applyBorder="1" applyAlignment="1">
      <alignment vertical="top" wrapText="1"/>
    </xf>
    <xf numFmtId="0" fontId="23" fillId="5" borderId="7" xfId="0" applyFont="1" applyFill="1" applyBorder="1"/>
    <xf numFmtId="0" fontId="0" fillId="0" borderId="7" xfId="0" applyBorder="1"/>
    <xf numFmtId="16" fontId="0" fillId="0" borderId="7" xfId="0" applyNumberFormat="1" applyBorder="1"/>
    <xf numFmtId="0" fontId="2" fillId="0" borderId="7" xfId="0" applyFont="1" applyBorder="1"/>
    <xf numFmtId="0" fontId="13" fillId="6" borderId="1" xfId="3" applyFont="1" applyFill="1" applyBorder="1" applyAlignment="1">
      <alignment horizontal="center" vertical="center"/>
    </xf>
    <xf numFmtId="0" fontId="14" fillId="6" borderId="2" xfId="3" applyFont="1" applyFill="1" applyBorder="1" applyAlignment="1">
      <alignment horizontal="center" vertical="center"/>
    </xf>
    <xf numFmtId="0" fontId="14" fillId="6" borderId="5" xfId="3" applyFont="1" applyFill="1" applyBorder="1" applyAlignment="1">
      <alignment horizontal="center" vertical="center"/>
    </xf>
    <xf numFmtId="0" fontId="19" fillId="5" borderId="12" xfId="0" applyFont="1" applyFill="1" applyBorder="1" applyAlignment="1">
      <alignment horizontal="center" vertical="top" wrapText="1"/>
    </xf>
    <xf numFmtId="0" fontId="18" fillId="5" borderId="12" xfId="0" applyFont="1" applyFill="1" applyBorder="1" applyAlignment="1">
      <alignment horizontal="center" vertical="top" wrapText="1"/>
    </xf>
    <xf numFmtId="0" fontId="15" fillId="0" borderId="13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20" fillId="10" borderId="15" xfId="0" applyFont="1" applyFill="1" applyBorder="1" applyAlignment="1">
      <alignment horizontal="center" vertical="center" wrapText="1"/>
    </xf>
    <xf numFmtId="0" fontId="20" fillId="10" borderId="16" xfId="0" applyFont="1" applyFill="1" applyBorder="1" applyAlignment="1">
      <alignment horizontal="center" vertical="center" wrapText="1"/>
    </xf>
    <xf numFmtId="0" fontId="20" fillId="10" borderId="14" xfId="0" applyFont="1" applyFill="1" applyBorder="1" applyAlignment="1">
      <alignment horizontal="center" vertical="center" wrapText="1"/>
    </xf>
    <xf numFmtId="0" fontId="20" fillId="10" borderId="13" xfId="0" applyFont="1" applyFill="1" applyBorder="1" applyAlignment="1">
      <alignment horizontal="center" vertical="center" textRotation="90" wrapText="1"/>
    </xf>
    <xf numFmtId="0" fontId="20" fillId="10" borderId="21" xfId="0" applyFont="1" applyFill="1" applyBorder="1" applyAlignment="1">
      <alignment horizontal="center" vertical="center" textRotation="90" wrapText="1"/>
    </xf>
    <xf numFmtId="0" fontId="20" fillId="10" borderId="17" xfId="0" applyFont="1" applyFill="1" applyBorder="1" applyAlignment="1">
      <alignment horizontal="center" vertical="center" textRotation="90" wrapText="1"/>
    </xf>
    <xf numFmtId="0" fontId="22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</cellXfs>
  <cellStyles count="4">
    <cellStyle name="Hyperlink" xfId="1" builtinId="8" customBuiltin="1"/>
    <cellStyle name="Hyperlink 2" xfId="2" xr:uid="{00000000-0005-0000-0000-000001000000}"/>
    <cellStyle name="Normal" xfId="0" builtinId="0"/>
    <cellStyle name="Normal 2" xfId="3" xr:uid="{00000000-0005-0000-0000-000003000000}"/>
  </cellStyles>
  <dxfs count="28"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theme="2" tint="-0.24994659260841701"/>
      </font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9887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2" tint="-0.24994659260841701"/>
      </font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988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oDoList" pivot="0" count="9" xr9:uid="{00000000-0011-0000-FFFF-FFFF00000000}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firstRowStripe" dxfId="22"/>
      <tableStyleElement type="secondRowStripe" dxfId="21"/>
      <tableStyleElement type="firstColumnStripe" dxfId="20"/>
      <tableStyleElement type="secondColumnStripe" dxfId="1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969696"/>
      <color rgb="FFC0C0C0"/>
      <color rgb="FF427FC2"/>
      <color rgb="FF44678E"/>
      <color rgb="FF42648A"/>
      <color rgb="FF215881"/>
      <color rgb="FF4A6F9C"/>
      <color rgb="FF3969A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5:K30" totalsRowShown="0">
  <autoFilter ref="A5:K30" xr:uid="{00000000-0009-0000-0100-000002000000}"/>
  <tableColumns count="11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ertex42 - Blue">
      <a:dk1>
        <a:sysClr val="windowText" lastClr="000000"/>
      </a:dk1>
      <a:lt1>
        <a:sysClr val="window" lastClr="FFFFFF"/>
      </a:lt1>
      <a:dk2>
        <a:srgbClr val="5E8BCE"/>
      </a:dk2>
      <a:lt2>
        <a:srgbClr val="EEECE2"/>
      </a:lt2>
      <a:accent1>
        <a:srgbClr val="3A5D9C"/>
      </a:accent1>
      <a:accent2>
        <a:srgbClr val="C04E4E"/>
      </a:accent2>
      <a:accent3>
        <a:srgbClr val="E68422"/>
      </a:accent3>
      <a:accent4>
        <a:srgbClr val="846648"/>
      </a:accent4>
      <a:accent5>
        <a:srgbClr val="26AA26"/>
      </a:accent5>
      <a:accent6>
        <a:srgbClr val="7860B4"/>
      </a:accent6>
      <a:hlink>
        <a:srgbClr val="4C92AE"/>
      </a:hlink>
      <a:folHlink>
        <a:srgbClr val="969696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tabSelected="1" topLeftCell="D1" workbookViewId="0">
      <selection activeCell="M2" sqref="M2"/>
    </sheetView>
  </sheetViews>
  <sheetFormatPr defaultRowHeight="14" x14ac:dyDescent="0.3"/>
  <cols>
    <col min="1" max="1" width="8.6640625" customWidth="1"/>
    <col min="2" max="2" width="16.83203125" customWidth="1"/>
    <col min="3" max="3" width="20.75" customWidth="1"/>
    <col min="4" max="4" width="13.75" customWidth="1"/>
    <col min="5" max="5" width="9.75" customWidth="1"/>
    <col min="6" max="6" width="11" customWidth="1"/>
    <col min="7" max="7" width="11.58203125" customWidth="1"/>
    <col min="8" max="8" width="19.25" customWidth="1"/>
    <col min="9" max="9" width="18.25" customWidth="1"/>
    <col min="10" max="10" width="17.83203125" customWidth="1"/>
    <col min="11" max="11" width="15.83203125" customWidth="1"/>
  </cols>
  <sheetData>
    <row r="1" spans="1:11" x14ac:dyDescent="0.3">
      <c r="A1" t="s">
        <v>0</v>
      </c>
    </row>
    <row r="2" spans="1:11" ht="18.5" x14ac:dyDescent="0.45">
      <c r="A2" s="15" t="s">
        <v>108</v>
      </c>
    </row>
    <row r="3" spans="1:11" ht="18.5" x14ac:dyDescent="0.45">
      <c r="A3" s="15" t="s">
        <v>109</v>
      </c>
    </row>
    <row r="5" spans="1:11" ht="65.150000000000006" customHeight="1" x14ac:dyDescent="0.3">
      <c r="A5" s="13" t="s">
        <v>1</v>
      </c>
      <c r="B5" s="13" t="s">
        <v>2</v>
      </c>
      <c r="C5" s="13" t="s">
        <v>3</v>
      </c>
      <c r="D5" s="13" t="s">
        <v>4</v>
      </c>
      <c r="E5" s="13" t="s">
        <v>5</v>
      </c>
      <c r="F5" s="13" t="s">
        <v>6</v>
      </c>
      <c r="G5" s="13" t="s">
        <v>7</v>
      </c>
      <c r="H5" s="13" t="s">
        <v>8</v>
      </c>
      <c r="I5" s="13" t="s">
        <v>9</v>
      </c>
      <c r="J5" s="13" t="s">
        <v>10</v>
      </c>
      <c r="K5" s="13" t="s">
        <v>11</v>
      </c>
    </row>
    <row r="6" spans="1:11" ht="111.65" customHeight="1" x14ac:dyDescent="0.3">
      <c r="A6" s="10">
        <v>1</v>
      </c>
      <c r="B6" s="11" t="s">
        <v>12</v>
      </c>
      <c r="C6" s="10" t="s">
        <v>13</v>
      </c>
      <c r="D6" s="10">
        <v>1</v>
      </c>
      <c r="E6" s="14">
        <v>4</v>
      </c>
      <c r="F6" s="10" t="s">
        <v>14</v>
      </c>
      <c r="G6" s="10" t="s">
        <v>15</v>
      </c>
      <c r="H6" s="10" t="s">
        <v>16</v>
      </c>
      <c r="I6" s="10" t="s">
        <v>17</v>
      </c>
      <c r="J6" s="10" t="s">
        <v>18</v>
      </c>
      <c r="K6" s="10" t="s">
        <v>19</v>
      </c>
    </row>
    <row r="7" spans="1:11" x14ac:dyDescent="0.3">
      <c r="A7" s="10"/>
      <c r="B7" s="11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3">
      <c r="A8" s="10"/>
      <c r="B8" s="11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3">
      <c r="A9" s="10"/>
      <c r="B9" s="11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3">
      <c r="A10" s="10"/>
      <c r="B10" s="11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3">
      <c r="A11" s="10"/>
      <c r="B11" s="11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3">
      <c r="A12" s="10"/>
      <c r="B12" s="11"/>
      <c r="C12" s="10"/>
      <c r="D12" s="10"/>
      <c r="E12" s="10"/>
      <c r="F12" s="10"/>
      <c r="G12" s="10"/>
      <c r="H12" s="10"/>
      <c r="I12" s="10"/>
      <c r="J12" s="10"/>
      <c r="K12" s="10"/>
    </row>
  </sheetData>
  <conditionalFormatting sqref="D6:E12">
    <cfRule type="containsText" dxfId="18" priority="1" stopIfTrue="1" operator="containsText" text="High">
      <formula>NOT(ISERROR(SEARCH("High",D6)))</formula>
    </cfRule>
    <cfRule type="containsText" dxfId="17" priority="2" stopIfTrue="1" operator="containsText" text="Low">
      <formula>NOT(ISERROR(SEARCH("Low",D6)))</formula>
    </cfRule>
    <cfRule type="containsText" dxfId="16" priority="3" stopIfTrue="1" operator="containsText" text="Medium">
      <formula>NOT(ISERROR(SEARCH("Medium",D6)))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"/>
  <sheetViews>
    <sheetView workbookViewId="0">
      <selection activeCell="E7" sqref="E7"/>
    </sheetView>
  </sheetViews>
  <sheetFormatPr defaultRowHeight="14" x14ac:dyDescent="0.3"/>
  <cols>
    <col min="2" max="2" width="15.33203125" customWidth="1"/>
    <col min="3" max="3" width="19.58203125" customWidth="1"/>
    <col min="7" max="7" width="12.83203125" customWidth="1"/>
    <col min="8" max="8" width="15.33203125" customWidth="1"/>
    <col min="10" max="10" width="10.83203125" customWidth="1"/>
    <col min="11" max="11" width="12.08203125" customWidth="1"/>
    <col min="13" max="13" width="9.08203125" customWidth="1"/>
  </cols>
  <sheetData>
    <row r="1" spans="1:13" ht="25.5" thickBot="1" x14ac:dyDescent="0.35">
      <c r="A1" s="61" t="s">
        <v>20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3"/>
    </row>
    <row r="2" spans="1:13" ht="62" x14ac:dyDescent="0.3">
      <c r="A2" s="16" t="s">
        <v>21</v>
      </c>
      <c r="B2" s="17" t="s">
        <v>22</v>
      </c>
      <c r="C2" s="18" t="s">
        <v>23</v>
      </c>
      <c r="D2" s="18" t="s">
        <v>24</v>
      </c>
      <c r="E2" s="18" t="s">
        <v>25</v>
      </c>
      <c r="F2" s="18" t="s">
        <v>26</v>
      </c>
      <c r="G2" s="19" t="s">
        <v>27</v>
      </c>
      <c r="H2" s="18" t="s">
        <v>28</v>
      </c>
      <c r="I2" s="18" t="s">
        <v>29</v>
      </c>
      <c r="J2" s="18" t="s">
        <v>30</v>
      </c>
      <c r="K2" s="18" t="s">
        <v>31</v>
      </c>
      <c r="L2" s="20" t="s">
        <v>11</v>
      </c>
      <c r="M2" s="21" t="s">
        <v>32</v>
      </c>
    </row>
    <row r="3" spans="1:13" x14ac:dyDescent="0.3">
      <c r="A3" s="22"/>
      <c r="B3" s="23"/>
      <c r="C3" s="24"/>
      <c r="D3" s="24"/>
      <c r="E3" s="22" t="s">
        <v>33</v>
      </c>
      <c r="F3" s="22" t="s">
        <v>33</v>
      </c>
      <c r="G3" s="25" t="str">
        <f>IF(AND(E3="Low",F3="Low"),"Medium",IF(AND(E3="Medium",F3="Low"),"Low",IF(AND(E3="High",F3="Low"),"Low",IF(AND(E3="Low",F3="Medium"),"High",IF(AND(E3="Medium",F3="Medium"),"Medium",IF(AND(E3="High",F3="Medium"),"Low",IF(AND(E3="Low",F3="High"),"High",IF(AND(E3="Medium",F3="High"),"High",IF(AND(E3="High",F3="High"),"Medium","NA")))))))))</f>
        <v>Medium</v>
      </c>
      <c r="H3" s="22"/>
      <c r="I3" s="26"/>
      <c r="J3" s="26"/>
      <c r="K3" s="23"/>
      <c r="L3" s="23" t="s">
        <v>34</v>
      </c>
      <c r="M3" s="27"/>
    </row>
    <row r="4" spans="1:13" x14ac:dyDescent="0.3">
      <c r="A4" s="22"/>
      <c r="B4" s="23"/>
      <c r="C4" s="24"/>
      <c r="D4" s="24"/>
      <c r="E4" s="22" t="s">
        <v>14</v>
      </c>
      <c r="F4" s="22" t="s">
        <v>33</v>
      </c>
      <c r="G4" s="25" t="str">
        <f>IF(AND(E4="Low",F4="Low"),"Medium",IF(AND(E4="Medium",F4="Low"),"Low",IF(AND(E4="High",F4="Low"),"Low",IF(AND(E4="Low",F4="Medium"),"High",IF(AND(E4="Medium",F4="Medium"),"Medium",IF(AND(E4="High",F4="Medium"),"Low",IF(AND(E4="Low",F4="High"),"High",IF(AND(E4="Medium",F4="High"),"High",IF(AND(E4="High",F4="High"),"Medium","NA")))))))))</f>
        <v>Low</v>
      </c>
      <c r="H4" s="22"/>
      <c r="I4" s="26"/>
      <c r="J4" s="26"/>
      <c r="K4" s="23"/>
      <c r="L4" s="23" t="s">
        <v>35</v>
      </c>
      <c r="M4" s="27"/>
    </row>
    <row r="5" spans="1:13" x14ac:dyDescent="0.3">
      <c r="A5" s="22"/>
      <c r="B5" s="23"/>
      <c r="C5" s="24"/>
      <c r="D5" s="24"/>
      <c r="E5" s="22" t="s">
        <v>33</v>
      </c>
      <c r="F5" s="22" t="s">
        <v>36</v>
      </c>
      <c r="G5" s="25" t="str">
        <f>IF(AND(E5="Low",F5="Low"),"Medium",IF(AND(E5="Medium",F5="Low"),"Low",IF(AND(E5="High",F5="Low"),"Low",IF(AND(E5="Low",F5="Medium"),"High",IF(AND(E5="Medium",F5="Medium"),"Medium",IF(AND(E5="High",F5="Medium"),"Low",IF(AND(E5="Low",F5="High"),"High",IF(AND(E5="Medium",F5="High"),"High",IF(AND(E5="High",F5="High"),"Medium","NA")))))))))</f>
        <v>High</v>
      </c>
      <c r="H5" s="22"/>
      <c r="I5" s="26"/>
      <c r="J5" s="26"/>
      <c r="K5" s="23"/>
      <c r="L5" s="23" t="s">
        <v>37</v>
      </c>
      <c r="M5" s="27"/>
    </row>
    <row r="6" spans="1:13" x14ac:dyDescent="0.3">
      <c r="A6" s="22"/>
      <c r="B6" s="23"/>
      <c r="C6" s="24"/>
      <c r="D6" s="24"/>
      <c r="E6" s="22" t="s">
        <v>36</v>
      </c>
      <c r="F6" s="22" t="s">
        <v>14</v>
      </c>
      <c r="G6" s="25" t="str">
        <f t="shared" ref="G6:G11" si="0">IF(AND(E6="Low",F6="Low"),"Medium",IF(AND(E6="Medium",F6="Low"),"Low",IF(AND(E6="High",F6="Low"),"Low",IF(AND(E6="Low",F6="Medium"),"High",IF(AND(E6="Medium",F6="Medium"),"Medium",IF(AND(E6="High",F6="Medium"),"Low",IF(AND(E6="Low",F6="High"),"High",IF(AND(E6="Medium",F6="High"),"High",IF(AND(E6="High",F6="High"),"Medium","NA")))))))))</f>
        <v>High</v>
      </c>
      <c r="H6" s="22"/>
      <c r="I6" s="26"/>
      <c r="J6" s="26"/>
      <c r="K6" s="23"/>
      <c r="L6" s="23"/>
      <c r="M6" s="27"/>
    </row>
    <row r="7" spans="1:13" x14ac:dyDescent="0.3">
      <c r="A7" s="22"/>
      <c r="B7" s="23"/>
      <c r="C7" s="24"/>
      <c r="D7" s="24"/>
      <c r="E7" s="22" t="s">
        <v>38</v>
      </c>
      <c r="F7" s="22" t="s">
        <v>38</v>
      </c>
      <c r="G7" s="25" t="str">
        <f t="shared" si="0"/>
        <v>NA</v>
      </c>
      <c r="H7" s="22"/>
      <c r="I7" s="26"/>
      <c r="J7" s="26"/>
      <c r="K7" s="23"/>
      <c r="L7" s="23"/>
      <c r="M7" s="27"/>
    </row>
    <row r="8" spans="1:13" x14ac:dyDescent="0.3">
      <c r="A8" s="22"/>
      <c r="B8" s="23"/>
      <c r="C8" s="24"/>
      <c r="D8" s="24"/>
      <c r="E8" s="22" t="s">
        <v>38</v>
      </c>
      <c r="F8" s="22" t="s">
        <v>38</v>
      </c>
      <c r="G8" s="25" t="str">
        <f t="shared" si="0"/>
        <v>NA</v>
      </c>
      <c r="H8" s="22"/>
      <c r="I8" s="26"/>
      <c r="J8" s="26"/>
      <c r="K8" s="23"/>
      <c r="L8" s="23"/>
      <c r="M8" s="27"/>
    </row>
    <row r="9" spans="1:13" x14ac:dyDescent="0.3">
      <c r="A9" s="22"/>
      <c r="B9" s="23"/>
      <c r="C9" s="24"/>
      <c r="D9" s="24"/>
      <c r="E9" s="22" t="s">
        <v>38</v>
      </c>
      <c r="F9" s="22" t="s">
        <v>38</v>
      </c>
      <c r="G9" s="25" t="str">
        <f t="shared" si="0"/>
        <v>NA</v>
      </c>
      <c r="H9" s="22"/>
      <c r="I9" s="26"/>
      <c r="J9" s="26"/>
      <c r="K9" s="23"/>
      <c r="L9" s="23"/>
      <c r="M9" s="27"/>
    </row>
    <row r="10" spans="1:13" x14ac:dyDescent="0.3">
      <c r="A10" s="22"/>
      <c r="B10" s="23"/>
      <c r="C10" s="24"/>
      <c r="D10" s="24"/>
      <c r="E10" s="22" t="s">
        <v>38</v>
      </c>
      <c r="F10" s="22" t="s">
        <v>38</v>
      </c>
      <c r="G10" s="25" t="str">
        <f t="shared" si="0"/>
        <v>NA</v>
      </c>
      <c r="H10" s="22"/>
      <c r="I10" s="26"/>
      <c r="J10" s="26"/>
      <c r="K10" s="23"/>
      <c r="L10" s="23"/>
      <c r="M10" s="27"/>
    </row>
    <row r="11" spans="1:13" x14ac:dyDescent="0.3">
      <c r="A11" s="22"/>
      <c r="B11" s="23"/>
      <c r="C11" s="24"/>
      <c r="D11" s="24"/>
      <c r="E11" s="22" t="s">
        <v>38</v>
      </c>
      <c r="F11" s="22" t="s">
        <v>38</v>
      </c>
      <c r="G11" s="25" t="str">
        <f t="shared" si="0"/>
        <v>NA</v>
      </c>
      <c r="H11" s="22"/>
      <c r="I11" s="26"/>
      <c r="J11" s="26"/>
      <c r="K11" s="23"/>
      <c r="L11" s="23"/>
      <c r="M11" s="27"/>
    </row>
  </sheetData>
  <mergeCells count="1">
    <mergeCell ref="A1:M1"/>
  </mergeCells>
  <conditionalFormatting sqref="G3:G11">
    <cfRule type="containsText" dxfId="15" priority="1" operator="containsText" text="Low">
      <formula>NOT(ISERROR(SEARCH("Low",G3)))</formula>
    </cfRule>
    <cfRule type="containsText" dxfId="14" priority="2" operator="containsText" text="Medium">
      <formula>NOT(ISERROR(SEARCH("Medium",G3)))</formula>
    </cfRule>
    <cfRule type="containsText" dxfId="13" priority="3" operator="containsText" text="High">
      <formula>NOT(ISERROR(SEARCH("High",G3)))</formula>
    </cfRule>
  </conditionalFormatting>
  <dataValidations count="1">
    <dataValidation type="list" allowBlank="1" showInputMessage="1" showErrorMessage="1" sqref="E3:F11" xr:uid="{00000000-0002-0000-0200-000000000000}">
      <formula1>"Low,Medium,High"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"/>
  <sheetViews>
    <sheetView workbookViewId="0">
      <selection activeCell="E7" sqref="E7"/>
    </sheetView>
  </sheetViews>
  <sheetFormatPr defaultRowHeight="14" x14ac:dyDescent="0.3"/>
  <cols>
    <col min="2" max="2" width="16.58203125" customWidth="1"/>
    <col min="3" max="3" width="21" customWidth="1"/>
    <col min="6" max="6" width="8.58203125" customWidth="1"/>
  </cols>
  <sheetData>
    <row r="1" spans="1:10" ht="16" thickBot="1" x14ac:dyDescent="0.35">
      <c r="A1" s="28"/>
      <c r="B1" s="64" t="s">
        <v>39</v>
      </c>
      <c r="C1" s="65"/>
      <c r="D1" s="28"/>
      <c r="E1" s="28"/>
      <c r="F1" s="66" t="s">
        <v>40</v>
      </c>
      <c r="G1" s="67"/>
      <c r="H1" s="70" t="s">
        <v>41</v>
      </c>
      <c r="I1" s="71"/>
      <c r="J1" s="72"/>
    </row>
    <row r="2" spans="1:10" ht="41" thickBot="1" x14ac:dyDescent="0.35">
      <c r="A2" s="28"/>
      <c r="B2" s="29" t="s">
        <v>42</v>
      </c>
      <c r="C2" s="30" t="s">
        <v>43</v>
      </c>
      <c r="D2" s="28"/>
      <c r="E2" s="28"/>
      <c r="F2" s="68"/>
      <c r="G2" s="69"/>
      <c r="H2" s="31" t="s">
        <v>33</v>
      </c>
      <c r="I2" s="32" t="s">
        <v>36</v>
      </c>
      <c r="J2" s="33" t="s">
        <v>14</v>
      </c>
    </row>
    <row r="3" spans="1:10" ht="15.5" x14ac:dyDescent="0.3">
      <c r="A3" s="28"/>
      <c r="B3" s="34" t="s">
        <v>44</v>
      </c>
      <c r="C3" s="35">
        <v>1</v>
      </c>
      <c r="D3" s="28"/>
      <c r="E3" s="28"/>
      <c r="F3" s="73" t="s">
        <v>45</v>
      </c>
      <c r="G3" s="36" t="s">
        <v>33</v>
      </c>
      <c r="H3" s="37" t="s">
        <v>36</v>
      </c>
      <c r="I3" s="38" t="s">
        <v>14</v>
      </c>
      <c r="J3" s="39" t="s">
        <v>14</v>
      </c>
    </row>
    <row r="4" spans="1:10" ht="15.5" x14ac:dyDescent="0.3">
      <c r="A4" s="28"/>
      <c r="B4" s="34" t="s">
        <v>46</v>
      </c>
      <c r="C4" s="35">
        <v>2</v>
      </c>
      <c r="D4" s="28"/>
      <c r="E4" s="28"/>
      <c r="F4" s="74"/>
      <c r="G4" s="40" t="s">
        <v>36</v>
      </c>
      <c r="H4" s="41" t="s">
        <v>33</v>
      </c>
      <c r="I4" s="42" t="s">
        <v>36</v>
      </c>
      <c r="J4" s="43" t="s">
        <v>14</v>
      </c>
    </row>
    <row r="5" spans="1:10" ht="16" thickBot="1" x14ac:dyDescent="0.35">
      <c r="A5" s="28"/>
      <c r="B5" s="34" t="s">
        <v>47</v>
      </c>
      <c r="C5" s="35">
        <v>3</v>
      </c>
      <c r="D5" s="28"/>
      <c r="E5" s="28"/>
      <c r="F5" s="75"/>
      <c r="G5" s="33" t="s">
        <v>14</v>
      </c>
      <c r="H5" s="44" t="s">
        <v>33</v>
      </c>
      <c r="I5" s="45" t="s">
        <v>33</v>
      </c>
      <c r="J5" s="46" t="s">
        <v>36</v>
      </c>
    </row>
    <row r="6" spans="1:10" ht="14.5" thickBot="1" x14ac:dyDescent="0.35">
      <c r="A6" s="28"/>
      <c r="B6" s="47" t="s">
        <v>48</v>
      </c>
      <c r="C6" s="48">
        <v>4</v>
      </c>
      <c r="D6" s="28"/>
      <c r="E6" s="28"/>
      <c r="F6" s="28"/>
      <c r="G6" s="28"/>
      <c r="H6" s="28"/>
      <c r="I6" s="28"/>
      <c r="J6" s="28"/>
    </row>
    <row r="7" spans="1:10" ht="14.5" thickBot="1" x14ac:dyDescent="0.35">
      <c r="A7" s="28"/>
      <c r="B7" s="28"/>
      <c r="C7" s="28"/>
      <c r="D7" s="28"/>
      <c r="E7" s="28"/>
      <c r="F7" s="28"/>
      <c r="G7" s="28"/>
      <c r="H7" s="28"/>
      <c r="I7" s="28"/>
      <c r="J7" s="28"/>
    </row>
    <row r="8" spans="1:10" ht="27" x14ac:dyDescent="0.3">
      <c r="A8" s="28"/>
      <c r="B8" s="29" t="s">
        <v>49</v>
      </c>
      <c r="C8" s="30" t="s">
        <v>50</v>
      </c>
      <c r="D8" s="28"/>
      <c r="E8" s="28"/>
      <c r="F8" s="28"/>
      <c r="G8" s="28"/>
      <c r="H8" s="28"/>
      <c r="I8" s="28"/>
      <c r="J8" s="28"/>
    </row>
    <row r="9" spans="1:10" x14ac:dyDescent="0.3">
      <c r="A9" s="28"/>
      <c r="B9" s="34" t="s">
        <v>51</v>
      </c>
      <c r="C9" s="35">
        <v>1</v>
      </c>
      <c r="D9" s="28"/>
      <c r="E9" s="28"/>
      <c r="F9" s="28"/>
      <c r="G9" s="28"/>
      <c r="H9" s="28"/>
      <c r="I9" s="28"/>
      <c r="J9" s="28"/>
    </row>
    <row r="10" spans="1:10" x14ac:dyDescent="0.3">
      <c r="A10" s="28"/>
      <c r="B10" s="34" t="s">
        <v>52</v>
      </c>
      <c r="C10" s="35">
        <v>2</v>
      </c>
      <c r="D10" s="28"/>
      <c r="E10" s="28"/>
      <c r="F10" s="28"/>
      <c r="G10" s="28"/>
      <c r="H10" s="28"/>
      <c r="I10" s="28"/>
      <c r="J10" s="28"/>
    </row>
    <row r="11" spans="1:10" x14ac:dyDescent="0.3">
      <c r="A11" s="28"/>
      <c r="B11" s="34" t="s">
        <v>53</v>
      </c>
      <c r="C11" s="35">
        <v>3</v>
      </c>
      <c r="D11" s="28"/>
      <c r="E11" s="28"/>
      <c r="F11" s="28"/>
      <c r="G11" s="28"/>
      <c r="H11" s="28"/>
      <c r="I11" s="28"/>
      <c r="J11" s="28"/>
    </row>
    <row r="12" spans="1:10" ht="14.5" thickBot="1" x14ac:dyDescent="0.35">
      <c r="A12" s="28"/>
      <c r="B12" s="47" t="s">
        <v>54</v>
      </c>
      <c r="C12" s="48">
        <v>4</v>
      </c>
      <c r="D12" s="28"/>
      <c r="E12" s="28"/>
      <c r="F12" s="28"/>
      <c r="G12" s="28"/>
      <c r="H12" s="28"/>
      <c r="I12" s="28"/>
      <c r="J12" s="28"/>
    </row>
    <row r="13" spans="1:10" ht="14.5" thickBot="1" x14ac:dyDescent="0.35">
      <c r="A13" s="28"/>
      <c r="B13" s="28"/>
      <c r="C13" s="28"/>
      <c r="D13" s="28"/>
      <c r="E13" s="28"/>
      <c r="F13" s="28"/>
      <c r="G13" s="28"/>
      <c r="H13" s="28"/>
      <c r="I13" s="28"/>
      <c r="J13" s="28"/>
    </row>
    <row r="14" spans="1:10" ht="102" customHeight="1" x14ac:dyDescent="0.3">
      <c r="A14" s="28"/>
      <c r="B14" s="49" t="s">
        <v>55</v>
      </c>
      <c r="C14" s="50"/>
      <c r="D14" s="28"/>
      <c r="E14" s="28"/>
      <c r="F14" s="28"/>
      <c r="G14" s="28"/>
      <c r="H14" s="28"/>
      <c r="I14" s="28"/>
      <c r="J14" s="28"/>
    </row>
    <row r="15" spans="1:10" x14ac:dyDescent="0.3">
      <c r="A15" s="28"/>
      <c r="B15" s="51" t="s">
        <v>56</v>
      </c>
      <c r="C15" s="52" t="s">
        <v>57</v>
      </c>
      <c r="D15" s="28"/>
      <c r="E15" s="28"/>
      <c r="F15" s="28"/>
      <c r="G15" s="28"/>
      <c r="H15" s="28"/>
      <c r="I15" s="28"/>
      <c r="J15" s="28"/>
    </row>
    <row r="16" spans="1:10" x14ac:dyDescent="0.3">
      <c r="A16" s="28"/>
      <c r="B16" s="53" t="s">
        <v>58</v>
      </c>
      <c r="C16" s="54" t="s">
        <v>33</v>
      </c>
      <c r="D16" s="28"/>
      <c r="E16" s="28"/>
      <c r="F16" s="28"/>
      <c r="G16" s="28"/>
      <c r="H16" s="28"/>
      <c r="I16" s="28"/>
      <c r="J16" s="28"/>
    </row>
    <row r="17" spans="1:10" x14ac:dyDescent="0.3">
      <c r="A17" s="28"/>
      <c r="B17" s="53" t="s">
        <v>59</v>
      </c>
      <c r="C17" s="54" t="s">
        <v>60</v>
      </c>
      <c r="D17" s="28"/>
      <c r="E17" s="28"/>
      <c r="F17" s="28"/>
      <c r="G17" s="28"/>
      <c r="H17" s="28"/>
      <c r="I17" s="28"/>
      <c r="J17" s="28"/>
    </row>
    <row r="18" spans="1:10" ht="14.5" thickBot="1" x14ac:dyDescent="0.35">
      <c r="A18" s="28"/>
      <c r="B18" s="55" t="s">
        <v>61</v>
      </c>
      <c r="C18" s="56" t="s">
        <v>14</v>
      </c>
      <c r="D18" s="28"/>
      <c r="E18" s="28"/>
      <c r="F18" s="28"/>
      <c r="G18" s="28"/>
      <c r="H18" s="28"/>
      <c r="I18" s="28"/>
      <c r="J18" s="28"/>
    </row>
  </sheetData>
  <mergeCells count="4">
    <mergeCell ref="B1:C1"/>
    <mergeCell ref="F1:G2"/>
    <mergeCell ref="H1:J1"/>
    <mergeCell ref="F3:F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2"/>
  <sheetViews>
    <sheetView workbookViewId="0">
      <selection activeCell="A6" sqref="A6"/>
    </sheetView>
  </sheetViews>
  <sheetFormatPr defaultRowHeight="14" x14ac:dyDescent="0.3"/>
  <cols>
    <col min="4" max="4" width="35" customWidth="1"/>
    <col min="11" max="11" width="35.75" customWidth="1"/>
  </cols>
  <sheetData>
    <row r="1" spans="1:11" x14ac:dyDescent="0.3">
      <c r="A1" s="76" t="s">
        <v>62</v>
      </c>
      <c r="B1" s="76"/>
      <c r="C1" s="76"/>
      <c r="D1" s="76"/>
      <c r="E1" s="76"/>
      <c r="F1" s="76"/>
      <c r="G1" s="76"/>
      <c r="H1" s="76"/>
      <c r="I1" s="76"/>
      <c r="J1" s="76"/>
      <c r="K1" s="76"/>
    </row>
    <row r="2" spans="1:11" x14ac:dyDescent="0.3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</row>
    <row r="4" spans="1:11" ht="15.5" x14ac:dyDescent="0.35">
      <c r="A4" s="57" t="s">
        <v>63</v>
      </c>
      <c r="B4" s="57" t="s">
        <v>64</v>
      </c>
      <c r="C4" s="57" t="s">
        <v>65</v>
      </c>
      <c r="D4" s="57" t="s">
        <v>66</v>
      </c>
      <c r="E4" s="57" t="s">
        <v>67</v>
      </c>
      <c r="F4" s="57" t="s">
        <v>68</v>
      </c>
      <c r="G4" s="57" t="s">
        <v>69</v>
      </c>
      <c r="H4" s="57" t="s">
        <v>70</v>
      </c>
      <c r="I4" s="57" t="s">
        <v>71</v>
      </c>
      <c r="J4" s="57" t="s">
        <v>11</v>
      </c>
      <c r="K4" s="57" t="s">
        <v>72</v>
      </c>
    </row>
    <row r="5" spans="1:11" x14ac:dyDescent="0.3">
      <c r="A5" s="58">
        <v>1</v>
      </c>
      <c r="B5" s="58"/>
      <c r="C5" s="58"/>
      <c r="D5" s="58"/>
      <c r="E5" s="58" t="s">
        <v>53</v>
      </c>
      <c r="F5" s="59"/>
      <c r="G5" s="58"/>
      <c r="H5" s="58"/>
      <c r="I5" s="58" t="s">
        <v>73</v>
      </c>
      <c r="J5" s="58" t="s">
        <v>19</v>
      </c>
      <c r="K5" s="58"/>
    </row>
    <row r="6" spans="1:11" x14ac:dyDescent="0.3">
      <c r="A6" s="58">
        <v>2</v>
      </c>
      <c r="B6" s="58"/>
      <c r="C6" s="58"/>
      <c r="D6" s="58"/>
      <c r="E6" s="58" t="s">
        <v>33</v>
      </c>
      <c r="F6" s="59"/>
      <c r="G6" s="58"/>
      <c r="H6" s="58"/>
      <c r="I6" s="58" t="s">
        <v>74</v>
      </c>
      <c r="J6" s="60" t="s">
        <v>19</v>
      </c>
      <c r="K6" s="58"/>
    </row>
    <row r="7" spans="1:11" x14ac:dyDescent="0.3">
      <c r="A7" s="58">
        <v>3</v>
      </c>
      <c r="B7" s="58"/>
      <c r="C7" s="58"/>
      <c r="D7" s="58" t="s">
        <v>75</v>
      </c>
      <c r="E7" s="58" t="s">
        <v>36</v>
      </c>
      <c r="F7" s="59"/>
      <c r="G7" s="58"/>
      <c r="H7" s="58" t="s">
        <v>76</v>
      </c>
      <c r="I7" s="58" t="s">
        <v>73</v>
      </c>
      <c r="J7" s="60" t="s">
        <v>19</v>
      </c>
      <c r="K7" s="58" t="s">
        <v>77</v>
      </c>
    </row>
    <row r="8" spans="1:11" x14ac:dyDescent="0.3">
      <c r="A8" s="58"/>
      <c r="B8" s="58"/>
      <c r="C8" s="58"/>
      <c r="D8" s="58"/>
      <c r="E8" s="58" t="s">
        <v>14</v>
      </c>
      <c r="F8" s="59"/>
      <c r="G8" s="58"/>
      <c r="H8" s="58"/>
      <c r="I8" s="58"/>
      <c r="J8" s="58"/>
      <c r="K8" s="58"/>
    </row>
    <row r="9" spans="1:11" x14ac:dyDescent="0.3">
      <c r="A9" s="58"/>
      <c r="B9" s="58"/>
      <c r="C9" s="58"/>
      <c r="D9" s="58"/>
      <c r="E9" s="58"/>
      <c r="F9" s="59"/>
      <c r="G9" s="58"/>
      <c r="H9" s="58"/>
      <c r="I9" s="58"/>
      <c r="J9" s="58"/>
      <c r="K9" s="58"/>
    </row>
    <row r="10" spans="1:11" x14ac:dyDescent="0.3">
      <c r="A10" s="58"/>
      <c r="B10" s="58"/>
      <c r="C10" s="58"/>
      <c r="D10" s="58"/>
      <c r="E10" s="58"/>
      <c r="F10" s="59"/>
      <c r="G10" s="58"/>
      <c r="H10" s="58"/>
      <c r="I10" s="58"/>
      <c r="J10" s="58"/>
      <c r="K10" s="58"/>
    </row>
    <row r="11" spans="1:11" x14ac:dyDescent="0.3">
      <c r="A11" s="58"/>
      <c r="B11" s="58"/>
      <c r="C11" s="58"/>
      <c r="D11" s="58"/>
      <c r="E11" s="58"/>
      <c r="F11" s="59"/>
      <c r="G11" s="58"/>
      <c r="H11" s="58"/>
      <c r="I11" s="58"/>
      <c r="J11" s="58"/>
      <c r="K11" s="58"/>
    </row>
    <row r="12" spans="1:11" x14ac:dyDescent="0.3">
      <c r="A12" s="58"/>
      <c r="B12" s="58"/>
      <c r="C12" s="58"/>
      <c r="D12" s="58"/>
      <c r="E12" s="58"/>
      <c r="F12" s="59"/>
      <c r="G12" s="59"/>
      <c r="H12" s="58"/>
      <c r="I12" s="58"/>
      <c r="J12" s="58"/>
      <c r="K12" s="58"/>
    </row>
  </sheetData>
  <mergeCells count="1">
    <mergeCell ref="A1:K2"/>
  </mergeCells>
  <conditionalFormatting sqref="E6:G12 A6:C12">
    <cfRule type="containsText" dxfId="12" priority="6" operator="containsText" text="Critical">
      <formula>NOT(ISERROR(SEARCH("Critical",A6)))</formula>
    </cfRule>
    <cfRule type="containsText" dxfId="11" priority="7" operator="containsText" text="High">
      <formula>NOT(ISERROR(SEARCH("High",A6)))</formula>
    </cfRule>
    <cfRule type="containsText" dxfId="10" priority="8" operator="containsText" text="Medium">
      <formula>NOT(ISERROR(SEARCH("Medium",A6)))</formula>
    </cfRule>
    <cfRule type="containsText" dxfId="9" priority="9" operator="containsText" text="Low">
      <formula>NOT(ISERROR(SEARCH("Low",A6)))</formula>
    </cfRule>
  </conditionalFormatting>
  <conditionalFormatting sqref="J6:J12">
    <cfRule type="containsText" dxfId="8" priority="10" operator="containsText" text="Closed">
      <formula>NOT(ISERROR(SEARCH("Closed",J6)))</formula>
    </cfRule>
  </conditionalFormatting>
  <conditionalFormatting sqref="E5:G5 A5:C5">
    <cfRule type="containsText" dxfId="7" priority="1" operator="containsText" text="Critical">
      <formula>NOT(ISERROR(SEARCH("Critical",A5)))</formula>
    </cfRule>
    <cfRule type="containsText" dxfId="6" priority="2" operator="containsText" text="High">
      <formula>NOT(ISERROR(SEARCH("High",A5)))</formula>
    </cfRule>
    <cfRule type="containsText" dxfId="5" priority="3" operator="containsText" text="Medium">
      <formula>NOT(ISERROR(SEARCH("Medium",A5)))</formula>
    </cfRule>
    <cfRule type="containsText" dxfId="4" priority="4" operator="containsText" text="Low">
      <formula>NOT(ISERROR(SEARCH("Low",A5)))</formula>
    </cfRule>
  </conditionalFormatting>
  <conditionalFormatting sqref="J5">
    <cfRule type="containsText" dxfId="3" priority="5" operator="containsText" text="Closed">
      <formula>NOT(ISERROR(SEARCH("Closed",J5)))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5:K25"/>
  <sheetViews>
    <sheetView workbookViewId="0">
      <selection sqref="A1:K12"/>
    </sheetView>
  </sheetViews>
  <sheetFormatPr defaultRowHeight="14" x14ac:dyDescent="0.3"/>
  <cols>
    <col min="1" max="2" width="10.08203125" customWidth="1"/>
    <col min="3" max="3" width="15.08203125" customWidth="1"/>
    <col min="4" max="4" width="12.08203125" customWidth="1"/>
    <col min="5" max="5" width="12.75" customWidth="1"/>
    <col min="6" max="6" width="13.75" customWidth="1"/>
    <col min="7" max="7" width="14.83203125" customWidth="1"/>
    <col min="8" max="8" width="26.58203125" customWidth="1"/>
    <col min="9" max="9" width="30.33203125" customWidth="1"/>
    <col min="10" max="10" width="21.33203125" customWidth="1"/>
    <col min="11" max="11" width="11.08203125" customWidth="1"/>
  </cols>
  <sheetData>
    <row r="5" spans="1:11" ht="60.65" customHeight="1" x14ac:dyDescent="0.3">
      <c r="A5" t="s">
        <v>78</v>
      </c>
      <c r="B5" t="s">
        <v>79</v>
      </c>
      <c r="C5" t="s">
        <v>80</v>
      </c>
      <c r="D5" t="s">
        <v>81</v>
      </c>
      <c r="E5" t="s">
        <v>82</v>
      </c>
      <c r="F5" t="s">
        <v>83</v>
      </c>
      <c r="G5" t="s">
        <v>84</v>
      </c>
      <c r="H5" t="s">
        <v>85</v>
      </c>
      <c r="I5" t="s">
        <v>86</v>
      </c>
      <c r="J5" t="s">
        <v>87</v>
      </c>
      <c r="K5" t="s">
        <v>88</v>
      </c>
    </row>
    <row r="7" spans="1:11" ht="79" customHeight="1" x14ac:dyDescent="0.3"/>
    <row r="8" spans="1:11" ht="88" customHeight="1" x14ac:dyDescent="0.3"/>
    <row r="13" spans="1:11" x14ac:dyDescent="0.3">
      <c r="A13" s="10"/>
      <c r="B13" s="11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3">
      <c r="A14" s="10"/>
      <c r="B14" s="11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3">
      <c r="A15" s="10"/>
      <c r="B15" s="11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3">
      <c r="A16" s="10"/>
      <c r="B16" s="11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3">
      <c r="A17" s="10"/>
      <c r="B17" s="11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3">
      <c r="A18" s="10"/>
      <c r="B18" s="11"/>
      <c r="C18" s="10"/>
      <c r="D18" s="12"/>
      <c r="E18" s="12"/>
      <c r="F18" s="12"/>
      <c r="G18" s="10"/>
      <c r="H18" s="12"/>
      <c r="I18" s="12"/>
      <c r="J18" s="12"/>
      <c r="K18" s="10"/>
    </row>
    <row r="19" spans="1:11" x14ac:dyDescent="0.3">
      <c r="A19" s="10"/>
      <c r="B19" s="11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3">
      <c r="A20" s="10"/>
      <c r="B20" s="11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3">
      <c r="A21" s="10"/>
      <c r="B21" s="11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3">
      <c r="A22" s="10"/>
      <c r="B22" s="11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3">
      <c r="A23" s="10"/>
      <c r="B23" s="11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3">
      <c r="A24" s="10"/>
      <c r="B24" s="11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3">
      <c r="A25" s="10"/>
      <c r="B25" s="11"/>
      <c r="C25" s="10"/>
      <c r="D25" s="9"/>
      <c r="E25" s="9"/>
      <c r="F25" s="9"/>
      <c r="G25" s="10"/>
      <c r="H25" s="9"/>
      <c r="I25" s="9"/>
      <c r="J25" s="9"/>
      <c r="K25" s="10"/>
    </row>
  </sheetData>
  <conditionalFormatting sqref="D13:E25">
    <cfRule type="containsText" dxfId="2" priority="1" stopIfTrue="1" operator="containsText" text="High">
      <formula>NOT(ISERROR(SEARCH("High",D13)))</formula>
    </cfRule>
    <cfRule type="containsText" dxfId="1" priority="2" stopIfTrue="1" operator="containsText" text="Low">
      <formula>NOT(ISERROR(SEARCH("Low",D13)))</formula>
    </cfRule>
    <cfRule type="containsText" dxfId="0" priority="3" stopIfTrue="1" operator="containsText" text="Medium">
      <formula>NOT(ISERROR(SEARCH("Medium",D13)))</formula>
    </cfRule>
  </conditionalFormatting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"/>
  <sheetViews>
    <sheetView workbookViewId="0">
      <selection activeCell="A2" sqref="A2:F7"/>
    </sheetView>
  </sheetViews>
  <sheetFormatPr defaultRowHeight="14" x14ac:dyDescent="0.3"/>
  <cols>
    <col min="6" max="6" width="22" customWidth="1"/>
  </cols>
  <sheetData>
    <row r="1" spans="1:6" ht="14.5" thickBot="1" x14ac:dyDescent="0.35"/>
    <row r="2" spans="1:6" ht="14.5" thickBot="1" x14ac:dyDescent="0.35">
      <c r="A2" s="77" t="s">
        <v>89</v>
      </c>
      <c r="B2" s="78"/>
      <c r="C2" s="78"/>
      <c r="D2" s="78"/>
      <c r="E2" s="78"/>
      <c r="F2" s="79"/>
    </row>
    <row r="3" spans="1:6" ht="21.5" thickBot="1" x14ac:dyDescent="0.35">
      <c r="A3" s="1" t="s">
        <v>90</v>
      </c>
      <c r="B3" s="2" t="s">
        <v>91</v>
      </c>
      <c r="C3" s="2" t="s">
        <v>92</v>
      </c>
      <c r="D3" s="3" t="s">
        <v>93</v>
      </c>
      <c r="E3" s="2" t="s">
        <v>11</v>
      </c>
      <c r="F3" s="7" t="s">
        <v>94</v>
      </c>
    </row>
    <row r="4" spans="1:6" ht="99" customHeight="1" thickBot="1" x14ac:dyDescent="0.35">
      <c r="A4" s="4">
        <v>1</v>
      </c>
      <c r="B4" s="5" t="s">
        <v>95</v>
      </c>
      <c r="C4" s="6" t="s">
        <v>96</v>
      </c>
      <c r="D4" s="6" t="s">
        <v>97</v>
      </c>
      <c r="E4" s="6" t="s">
        <v>98</v>
      </c>
      <c r="F4" s="8" t="s">
        <v>99</v>
      </c>
    </row>
    <row r="5" spans="1:6" ht="97.5" customHeight="1" thickBot="1" x14ac:dyDescent="0.35">
      <c r="A5" s="4">
        <v>2</v>
      </c>
      <c r="B5" s="5" t="s">
        <v>100</v>
      </c>
      <c r="C5" s="5" t="s">
        <v>96</v>
      </c>
      <c r="D5" s="5" t="s">
        <v>101</v>
      </c>
      <c r="E5" s="6" t="s">
        <v>98</v>
      </c>
      <c r="F5" s="8" t="s">
        <v>102</v>
      </c>
    </row>
    <row r="6" spans="1:6" ht="30.5" thickBot="1" x14ac:dyDescent="0.35">
      <c r="A6" s="4">
        <v>3</v>
      </c>
      <c r="B6" s="5" t="s">
        <v>100</v>
      </c>
      <c r="C6" s="5" t="s">
        <v>96</v>
      </c>
      <c r="D6" s="5" t="s">
        <v>103</v>
      </c>
      <c r="E6" s="6" t="s">
        <v>98</v>
      </c>
      <c r="F6" s="8" t="s">
        <v>104</v>
      </c>
    </row>
    <row r="7" spans="1:6" ht="40.5" thickBot="1" x14ac:dyDescent="0.35">
      <c r="A7" s="4">
        <v>4</v>
      </c>
      <c r="B7" s="5" t="s">
        <v>105</v>
      </c>
      <c r="C7" s="5" t="s">
        <v>96</v>
      </c>
      <c r="D7" s="5" t="s">
        <v>106</v>
      </c>
      <c r="E7" s="6" t="s">
        <v>98</v>
      </c>
      <c r="F7" s="8" t="s">
        <v>107</v>
      </c>
    </row>
  </sheetData>
  <mergeCells count="1">
    <mergeCell ref="A2:F2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A04FAB8CA633488101D347D53F1229" ma:contentTypeVersion="3" ma:contentTypeDescription="Create a new document." ma:contentTypeScope="" ma:versionID="66a1d23d897df6138efd4292249cbcc6">
  <xsd:schema xmlns:xsd="http://www.w3.org/2001/XMLSchema" xmlns:xs="http://www.w3.org/2001/XMLSchema" xmlns:p="http://schemas.microsoft.com/office/2006/metadata/properties" xmlns:ns2="2a816b26-0abf-4df0-a421-469824384bbc" targetNamespace="http://schemas.microsoft.com/office/2006/metadata/properties" ma:root="true" ma:fieldsID="215fb7c847c10078201e333c65c84118" ns2:_="">
    <xsd:import namespace="2a816b26-0abf-4df0-a421-469824384b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16b26-0abf-4df0-a421-469824384b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24F840-D7A4-4B1E-B5CD-36E884F2561B}"/>
</file>

<file path=customXml/itemProps2.xml><?xml version="1.0" encoding="utf-8"?>
<ds:datastoreItem xmlns:ds="http://schemas.openxmlformats.org/officeDocument/2006/customXml" ds:itemID="{DEA4607F-43BC-4960-B386-BCDB636197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8E18CC-B873-4CF2-9D2E-1217E5069C0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Risk Reg.</vt:lpstr>
      <vt:lpstr>Opportunities</vt:lpstr>
      <vt:lpstr>Guidelines</vt:lpstr>
      <vt:lpstr>Issue Tracker</vt:lpstr>
      <vt:lpstr>Risk Register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Sreeram.Gogineni@granulesindia.com</dc:creator>
  <cp:keywords/>
  <dc:description>(c) 2017 Vertex42 LLC. All Rights Reserved.</dc:description>
  <cp:lastModifiedBy>G/Varun Awasthi, AM(ACE)</cp:lastModifiedBy>
  <cp:revision/>
  <dcterms:created xsi:type="dcterms:W3CDTF">2017-01-09T18:01:51Z</dcterms:created>
  <dcterms:modified xsi:type="dcterms:W3CDTF">2022-09-14T10:31:02Z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(c) 2017 Vertex42 LLC</vt:lpwstr>
  </property>
  <property fmtid="{D5CDD505-2E9C-101B-9397-08002B2CF9AE}" pid="3" name="Version">
    <vt:lpwstr>1.0.0</vt:lpwstr>
  </property>
  <property fmtid="{D5CDD505-2E9C-101B-9397-08002B2CF9AE}" pid="4" name="ContentTypeId">
    <vt:lpwstr>0x01010038A04FAB8CA633488101D347D53F1229</vt:lpwstr>
  </property>
  <property fmtid="{D5CDD505-2E9C-101B-9397-08002B2CF9AE}" pid="5" name="Order">
    <vt:r8>3800</vt:r8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</Properties>
</file>